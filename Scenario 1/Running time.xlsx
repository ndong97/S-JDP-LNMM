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ndong_ttu_edu/Documents/Documents/Scalable Survival-DP Package/Pkg for scalable survival DP/Marginal method/3-cluster/"/>
    </mc:Choice>
  </mc:AlternateContent>
  <xr:revisionPtr revIDLastSave="76" documentId="13_ncr:1_{C5FD93F0-14CA-4528-91E9-83FE54B089F5}" xr6:coauthVersionLast="47" xr6:coauthVersionMax="47" xr10:uidLastSave="{3ECCEF35-E43D-47DB-A8A6-AF4C556366A5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24" i="1"/>
  <c r="E23" i="1"/>
  <c r="E22" i="1"/>
  <c r="E10" i="1"/>
  <c r="E7" i="1"/>
  <c r="E8" i="1"/>
  <c r="E9" i="1"/>
  <c r="E11" i="1"/>
  <c r="E12" i="1"/>
  <c r="E13" i="1"/>
  <c r="E14" i="1"/>
  <c r="E15" i="1"/>
  <c r="E16" i="1"/>
  <c r="E17" i="1"/>
  <c r="E18" i="1"/>
  <c r="E19" i="1"/>
  <c r="E20" i="1"/>
  <c r="E21" i="1"/>
  <c r="E2" i="1"/>
  <c r="E3" i="1"/>
  <c r="E4" i="1"/>
  <c r="E5" i="1"/>
  <c r="E6" i="1"/>
</calcChain>
</file>

<file path=xl/sharedStrings.xml><?xml version="1.0" encoding="utf-8"?>
<sst xmlns="http://schemas.openxmlformats.org/spreadsheetml/2006/main" count="5" uniqueCount="5">
  <si>
    <t>Subset</t>
  </si>
  <si>
    <t>T</t>
  </si>
  <si>
    <t>h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</si>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</sst>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H8" sqref="H8"/>
    </sheetView>
  </sheetViews>
  <sheetFormatPr defaultRowHeight="14.5" x14ac:dyDescent="0.35"/>
  <sheetData>
    <row r="1" spans="1:8" x14ac:dyDescent="0.35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8" x14ac:dyDescent="0.35">
      <c r="A2">
        <v>1</v>
      </c>
      <c r="B2">
        <v>3</v>
      </c>
      <c r="C2">
        <v>53</v>
      </c>
      <c r="D2">
        <v>17</v>
      </c>
      <c r="E2">
        <f t="shared" ref="E2:E21" si="0">3600*B2+60*C2+D2</f>
        <v>13997</v>
      </c>
    </row>
    <row r="3" spans="1:8" x14ac:dyDescent="0.35">
      <c r="A3">
        <v>2</v>
      </c>
      <c r="B3">
        <v>4</v>
      </c>
      <c r="C3">
        <v>6</v>
      </c>
      <c r="D3">
        <v>40</v>
      </c>
      <c r="E3">
        <f t="shared" si="0"/>
        <v>14800</v>
      </c>
    </row>
    <row r="4" spans="1:8" x14ac:dyDescent="0.35">
      <c r="A4">
        <v>3</v>
      </c>
      <c r="B4">
        <v>4</v>
      </c>
      <c r="C4">
        <v>1</v>
      </c>
      <c r="D4">
        <v>19</v>
      </c>
      <c r="E4">
        <f t="shared" si="0"/>
        <v>14479</v>
      </c>
    </row>
    <row r="5" spans="1:8" x14ac:dyDescent="0.35">
      <c r="A5">
        <v>4</v>
      </c>
      <c r="B5">
        <v>4</v>
      </c>
      <c r="C5">
        <v>8</v>
      </c>
      <c r="D5">
        <v>44</v>
      </c>
      <c r="E5">
        <f t="shared" si="0"/>
        <v>14924</v>
      </c>
    </row>
    <row r="6" spans="1:8" x14ac:dyDescent="0.35">
      <c r="A6">
        <v>5</v>
      </c>
      <c r="B6">
        <v>4</v>
      </c>
      <c r="C6">
        <v>0</v>
      </c>
      <c r="D6">
        <v>24</v>
      </c>
      <c r="E6">
        <f>3600*B6+60*C6+D6</f>
        <v>14424</v>
      </c>
    </row>
    <row r="7" spans="1:8" x14ac:dyDescent="0.35">
      <c r="A7">
        <v>6</v>
      </c>
      <c r="B7">
        <v>3</v>
      </c>
      <c r="C7">
        <v>40</v>
      </c>
      <c r="D7">
        <v>19</v>
      </c>
      <c r="E7">
        <f t="shared" si="0"/>
        <v>13219</v>
      </c>
    </row>
    <row r="8" spans="1:8" x14ac:dyDescent="0.35">
      <c r="A8">
        <v>7</v>
      </c>
      <c r="B8">
        <v>4</v>
      </c>
      <c r="C8">
        <v>9</v>
      </c>
      <c r="D8">
        <v>27</v>
      </c>
      <c r="E8">
        <f t="shared" si="0"/>
        <v>14967</v>
      </c>
      <c r="H8">
        <v>159</v>
      </c>
    </row>
    <row r="9" spans="1:8" x14ac:dyDescent="0.35">
      <c r="A9">
        <v>8</v>
      </c>
      <c r="B9">
        <v>4</v>
      </c>
      <c r="C9">
        <v>8</v>
      </c>
      <c r="D9">
        <v>23</v>
      </c>
      <c r="E9">
        <f t="shared" si="0"/>
        <v>14903</v>
      </c>
    </row>
    <row r="10" spans="1:8" x14ac:dyDescent="0.35">
      <c r="A10">
        <v>9</v>
      </c>
      <c r="B10">
        <v>3</v>
      </c>
      <c r="C10">
        <v>53</v>
      </c>
      <c r="D10">
        <v>38</v>
      </c>
      <c r="E10">
        <f>3600*B10+60*C10+D10</f>
        <v>14018</v>
      </c>
    </row>
    <row r="11" spans="1:8" x14ac:dyDescent="0.35">
      <c r="A11">
        <v>10</v>
      </c>
      <c r="B11">
        <v>3</v>
      </c>
      <c r="C11">
        <v>52</v>
      </c>
      <c r="D11">
        <v>31</v>
      </c>
      <c r="E11">
        <f t="shared" si="0"/>
        <v>13951</v>
      </c>
    </row>
    <row r="12" spans="1:8" x14ac:dyDescent="0.35">
      <c r="A12">
        <v>11</v>
      </c>
      <c r="B12">
        <v>3</v>
      </c>
      <c r="C12">
        <v>56</v>
      </c>
      <c r="D12">
        <v>36</v>
      </c>
      <c r="E12">
        <f t="shared" si="0"/>
        <v>14196</v>
      </c>
    </row>
    <row r="13" spans="1:8" x14ac:dyDescent="0.35">
      <c r="A13">
        <v>12</v>
      </c>
      <c r="B13">
        <v>4</v>
      </c>
      <c r="C13">
        <v>8</v>
      </c>
      <c r="D13">
        <v>48</v>
      </c>
      <c r="E13">
        <f t="shared" si="0"/>
        <v>14928</v>
      </c>
    </row>
    <row r="14" spans="1:8" x14ac:dyDescent="0.35">
      <c r="A14">
        <v>13</v>
      </c>
      <c r="B14">
        <v>4</v>
      </c>
      <c r="C14">
        <v>13</v>
      </c>
      <c r="D14">
        <v>48</v>
      </c>
      <c r="E14">
        <f t="shared" si="0"/>
        <v>15228</v>
      </c>
    </row>
    <row r="15" spans="1:8" x14ac:dyDescent="0.35">
      <c r="A15">
        <v>14</v>
      </c>
      <c r="B15">
        <v>2</v>
      </c>
      <c r="C15">
        <v>50</v>
      </c>
      <c r="D15">
        <v>38</v>
      </c>
      <c r="E15">
        <f t="shared" si="0"/>
        <v>10238</v>
      </c>
    </row>
    <row r="16" spans="1:8" x14ac:dyDescent="0.35">
      <c r="A16">
        <v>15</v>
      </c>
      <c r="B16">
        <v>4</v>
      </c>
      <c r="C16">
        <v>2</v>
      </c>
      <c r="D16">
        <v>49</v>
      </c>
      <c r="E16">
        <f t="shared" si="0"/>
        <v>14569</v>
      </c>
    </row>
    <row r="17" spans="1:5" x14ac:dyDescent="0.35">
      <c r="A17">
        <v>16</v>
      </c>
      <c r="B17">
        <v>2</v>
      </c>
      <c r="C17">
        <v>55</v>
      </c>
      <c r="D17">
        <v>15</v>
      </c>
      <c r="E17">
        <f t="shared" si="0"/>
        <v>10515</v>
      </c>
    </row>
    <row r="18" spans="1:5" x14ac:dyDescent="0.35">
      <c r="A18">
        <v>17</v>
      </c>
      <c r="B18">
        <v>2</v>
      </c>
      <c r="C18">
        <v>35</v>
      </c>
      <c r="D18">
        <v>6</v>
      </c>
      <c r="E18">
        <f t="shared" si="0"/>
        <v>9306</v>
      </c>
    </row>
    <row r="19" spans="1:5" x14ac:dyDescent="0.35">
      <c r="A19">
        <v>18</v>
      </c>
      <c r="B19">
        <v>4</v>
      </c>
      <c r="C19">
        <v>6</v>
      </c>
      <c r="D19">
        <v>34</v>
      </c>
      <c r="E19">
        <f t="shared" si="0"/>
        <v>14794</v>
      </c>
    </row>
    <row r="20" spans="1:5" x14ac:dyDescent="0.35">
      <c r="A20">
        <v>19</v>
      </c>
      <c r="B20">
        <v>4</v>
      </c>
      <c r="C20">
        <v>2</v>
      </c>
      <c r="D20">
        <v>47</v>
      </c>
      <c r="E20">
        <f t="shared" si="0"/>
        <v>14567</v>
      </c>
    </row>
    <row r="21" spans="1:5" x14ac:dyDescent="0.35">
      <c r="A21">
        <v>20</v>
      </c>
      <c r="B21">
        <v>3</v>
      </c>
      <c r="C21">
        <v>58</v>
      </c>
      <c r="D21">
        <v>49</v>
      </c>
      <c r="E21">
        <f t="shared" si="0"/>
        <v>14329</v>
      </c>
    </row>
    <row r="22" spans="1:5" x14ac:dyDescent="0.35">
      <c r="E22">
        <f>MAX(E2:E21)</f>
        <v>15228</v>
      </c>
    </row>
    <row r="23" spans="1:5" x14ac:dyDescent="0.35">
      <c r="E23">
        <f>_xlfn.STDEV.S(E2:E21)</f>
        <v>1712.5512946601382</v>
      </c>
    </row>
    <row r="24" spans="1:5" x14ac:dyDescent="0.35">
      <c r="E24">
        <f>MEDIAN(E2:E21)</f>
        <v>14451.5</v>
      </c>
    </row>
    <row r="29" spans="1:5" x14ac:dyDescent="0.35">
      <c r="B29">
        <v>7</v>
      </c>
      <c r="C29">
        <v>16</v>
      </c>
      <c r="D29">
        <v>42</v>
      </c>
      <c r="E29">
        <f>7*3600+16*60+42</f>
        <v>26202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Ning</dc:creator>
  <cp:lastModifiedBy>Dong, Ning</cp:lastModifiedBy>
  <dcterms:created xsi:type="dcterms:W3CDTF">2015-06-05T18:17:20Z</dcterms:created>
  <dcterms:modified xsi:type="dcterms:W3CDTF">2025-04-10T23:12:52Z</dcterms:modified>
</cp:coreProperties>
</file>