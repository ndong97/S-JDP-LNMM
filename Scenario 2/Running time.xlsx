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ndong_ttu_edu/Documents/Documents/Scalable Survival-DP Package/Pkg for scalable survival DP/Marginal method/5-cluster/"/>
    </mc:Choice>
  </mc:AlternateContent>
  <xr:revisionPtr revIDLastSave="224" documentId="8_{8B5FE139-D232-4014-B03B-5FC3936B3FA0}" xr6:coauthVersionLast="47" xr6:coauthVersionMax="47" xr10:uidLastSave="{455B6BB6-B8D2-467E-8D7C-F980A650A6E4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5" i="1"/>
  <c r="E22" i="1" s="1"/>
  <c r="E3" i="1"/>
  <c r="E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<sst xmlns="http://schemas.openxmlformats.org/spreadsheetml/2006/main" count="5" uniqueCount="5">
  <si>
    <t>Subset</t>
  </si>
  <si>
    <t>T</t>
  </si>
  <si>
    <t>h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</si>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</sst>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J22" sqref="J22"/>
    </sheetView>
  </sheetViews>
  <sheetFormatPr defaultRowHeight="14.5" x14ac:dyDescent="0.35"/>
  <sheetData>
    <row r="1" spans="1:5" x14ac:dyDescent="0.35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35">
      <c r="A2" s="2">
        <v>1</v>
      </c>
      <c r="B2" s="2">
        <v>4</v>
      </c>
      <c r="C2" s="2">
        <v>8</v>
      </c>
      <c r="D2" s="2">
        <v>19</v>
      </c>
      <c r="E2" s="2">
        <f>3600*B2+60*C2+D2</f>
        <v>14899</v>
      </c>
    </row>
    <row r="3" spans="1:5" x14ac:dyDescent="0.35">
      <c r="A3" s="2">
        <v>2</v>
      </c>
      <c r="B3" s="2">
        <v>4</v>
      </c>
      <c r="C3" s="2">
        <v>15</v>
      </c>
      <c r="D3" s="2">
        <v>13</v>
      </c>
      <c r="E3" s="2">
        <f t="shared" ref="E3:E21" si="0">3600*B3+60*C3+D3</f>
        <v>15313</v>
      </c>
    </row>
    <row r="4" spans="1:5" s="1" customFormat="1" x14ac:dyDescent="0.35">
      <c r="A4" s="2">
        <v>3</v>
      </c>
      <c r="B4" s="2">
        <v>4</v>
      </c>
      <c r="C4" s="2">
        <v>7</v>
      </c>
      <c r="D4" s="2">
        <v>6</v>
      </c>
      <c r="E4" s="2">
        <f t="shared" si="0"/>
        <v>14826</v>
      </c>
    </row>
    <row r="5" spans="1:5" x14ac:dyDescent="0.35">
      <c r="A5" s="2">
        <v>4</v>
      </c>
      <c r="B5" s="2">
        <v>4</v>
      </c>
      <c r="C5" s="2">
        <v>22</v>
      </c>
      <c r="D5" s="2">
        <v>34</v>
      </c>
      <c r="E5" s="2">
        <f>3600*B5+60*C5+D5</f>
        <v>15754</v>
      </c>
    </row>
    <row r="6" spans="1:5" s="1" customFormat="1" x14ac:dyDescent="0.35">
      <c r="A6" s="2">
        <v>5</v>
      </c>
      <c r="B6" s="2">
        <v>4</v>
      </c>
      <c r="C6" s="2">
        <v>5</v>
      </c>
      <c r="D6" s="2">
        <v>53</v>
      </c>
      <c r="E6" s="2">
        <f t="shared" si="0"/>
        <v>14753</v>
      </c>
    </row>
    <row r="7" spans="1:5" x14ac:dyDescent="0.35">
      <c r="A7" s="2">
        <v>6</v>
      </c>
      <c r="B7" s="2">
        <v>4</v>
      </c>
      <c r="C7" s="2">
        <v>13</v>
      </c>
      <c r="D7" s="2">
        <v>7</v>
      </c>
      <c r="E7" s="2">
        <f t="shared" si="0"/>
        <v>15187</v>
      </c>
    </row>
    <row r="8" spans="1:5" x14ac:dyDescent="0.35">
      <c r="A8" s="2">
        <v>7</v>
      </c>
      <c r="B8" s="2">
        <v>4</v>
      </c>
      <c r="C8" s="2">
        <v>11</v>
      </c>
      <c r="D8" s="2">
        <v>1</v>
      </c>
      <c r="E8" s="2">
        <f t="shared" si="0"/>
        <v>15061</v>
      </c>
    </row>
    <row r="9" spans="1:5" x14ac:dyDescent="0.35">
      <c r="A9" s="2">
        <v>8</v>
      </c>
      <c r="B9" s="2">
        <v>4</v>
      </c>
      <c r="C9" s="2">
        <v>0</v>
      </c>
      <c r="D9" s="2">
        <v>52</v>
      </c>
      <c r="E9" s="2">
        <f t="shared" si="0"/>
        <v>14452</v>
      </c>
    </row>
    <row r="10" spans="1:5" x14ac:dyDescent="0.35">
      <c r="A10" s="2">
        <v>9</v>
      </c>
      <c r="B10" s="2">
        <v>3</v>
      </c>
      <c r="C10" s="2">
        <v>52</v>
      </c>
      <c r="D10" s="2">
        <v>7</v>
      </c>
      <c r="E10" s="2">
        <f t="shared" si="0"/>
        <v>13927</v>
      </c>
    </row>
    <row r="11" spans="1:5" x14ac:dyDescent="0.35">
      <c r="A11" s="2">
        <v>10</v>
      </c>
      <c r="B11" s="2">
        <v>3</v>
      </c>
      <c r="C11" s="2">
        <v>59</v>
      </c>
      <c r="D11" s="2">
        <v>55</v>
      </c>
      <c r="E11" s="2">
        <f t="shared" si="0"/>
        <v>14395</v>
      </c>
    </row>
    <row r="12" spans="1:5" x14ac:dyDescent="0.35">
      <c r="A12" s="2">
        <v>11</v>
      </c>
      <c r="B12" s="2">
        <v>3</v>
      </c>
      <c r="C12" s="2">
        <v>55</v>
      </c>
      <c r="D12" s="2">
        <v>15</v>
      </c>
      <c r="E12" s="2">
        <f t="shared" si="0"/>
        <v>14115</v>
      </c>
    </row>
    <row r="13" spans="1:5" s="1" customFormat="1" x14ac:dyDescent="0.35">
      <c r="A13" s="2">
        <v>12</v>
      </c>
      <c r="B13" s="2">
        <v>3</v>
      </c>
      <c r="C13" s="2">
        <v>56</v>
      </c>
      <c r="D13" s="2">
        <v>36</v>
      </c>
      <c r="E13" s="2">
        <f t="shared" si="0"/>
        <v>14196</v>
      </c>
    </row>
    <row r="14" spans="1:5" x14ac:dyDescent="0.35">
      <c r="A14" s="2">
        <v>13</v>
      </c>
      <c r="B14" s="2">
        <v>4</v>
      </c>
      <c r="C14" s="2">
        <v>4</v>
      </c>
      <c r="D14" s="2">
        <v>0</v>
      </c>
      <c r="E14" s="2">
        <f t="shared" si="0"/>
        <v>14640</v>
      </c>
    </row>
    <row r="15" spans="1:5" x14ac:dyDescent="0.35">
      <c r="A15" s="2">
        <v>14</v>
      </c>
      <c r="B15" s="2">
        <v>3</v>
      </c>
      <c r="C15" s="2">
        <v>54</v>
      </c>
      <c r="D15" s="2">
        <v>55</v>
      </c>
      <c r="E15" s="2">
        <f t="shared" si="0"/>
        <v>14095</v>
      </c>
    </row>
    <row r="16" spans="1:5" x14ac:dyDescent="0.35">
      <c r="A16" s="2">
        <v>15</v>
      </c>
      <c r="B16" s="2">
        <v>4</v>
      </c>
      <c r="C16" s="2">
        <v>1</v>
      </c>
      <c r="D16" s="2">
        <v>53</v>
      </c>
      <c r="E16" s="2">
        <f t="shared" si="0"/>
        <v>14513</v>
      </c>
    </row>
    <row r="17" spans="1:5" x14ac:dyDescent="0.35">
      <c r="A17" s="2">
        <v>16</v>
      </c>
      <c r="B17" s="2">
        <v>3</v>
      </c>
      <c r="C17" s="2">
        <v>58</v>
      </c>
      <c r="D17" s="2">
        <v>9</v>
      </c>
      <c r="E17" s="2">
        <f t="shared" si="0"/>
        <v>14289</v>
      </c>
    </row>
    <row r="18" spans="1:5" x14ac:dyDescent="0.35">
      <c r="A18" s="2">
        <v>17</v>
      </c>
      <c r="B18" s="2">
        <v>4</v>
      </c>
      <c r="C18" s="2">
        <v>15</v>
      </c>
      <c r="D18" s="2">
        <v>6</v>
      </c>
      <c r="E18" s="2">
        <f t="shared" si="0"/>
        <v>15306</v>
      </c>
    </row>
    <row r="19" spans="1:5" x14ac:dyDescent="0.35">
      <c r="A19" s="2">
        <v>18</v>
      </c>
      <c r="B19" s="2">
        <v>4</v>
      </c>
      <c r="C19" s="2">
        <v>4</v>
      </c>
      <c r="D19" s="2">
        <v>19</v>
      </c>
      <c r="E19" s="2">
        <f t="shared" si="0"/>
        <v>14659</v>
      </c>
    </row>
    <row r="20" spans="1:5" x14ac:dyDescent="0.35">
      <c r="A20" s="2">
        <v>19</v>
      </c>
      <c r="B20" s="2">
        <v>4</v>
      </c>
      <c r="C20" s="2">
        <v>0</v>
      </c>
      <c r="D20" s="2">
        <v>59</v>
      </c>
      <c r="E20" s="2">
        <f t="shared" si="0"/>
        <v>14459</v>
      </c>
    </row>
    <row r="21" spans="1:5" s="1" customFormat="1" x14ac:dyDescent="0.35">
      <c r="A21" s="2">
        <v>20</v>
      </c>
      <c r="B21" s="2">
        <v>4</v>
      </c>
      <c r="C21" s="2">
        <v>8</v>
      </c>
      <c r="D21" s="2">
        <v>20</v>
      </c>
      <c r="E21" s="2">
        <f t="shared" si="0"/>
        <v>14900</v>
      </c>
    </row>
    <row r="22" spans="1:5" x14ac:dyDescent="0.35">
      <c r="E22" s="2">
        <f>MAX(E2:E21)</f>
        <v>15754</v>
      </c>
    </row>
    <row r="23" spans="1:5" x14ac:dyDescent="0.35">
      <c r="E23" s="2">
        <f>_xlfn.STDEV.S(E2:E21)</f>
        <v>475.60858243329722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Ning</dc:creator>
  <cp:lastModifiedBy>Dong, Ning</cp:lastModifiedBy>
  <dcterms:created xsi:type="dcterms:W3CDTF">2015-06-05T18:17:20Z</dcterms:created>
  <dcterms:modified xsi:type="dcterms:W3CDTF">2025-04-10T20:52:39Z</dcterms:modified>
</cp:coreProperties>
</file>